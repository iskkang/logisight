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Monthly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"/>
  </numFmts>
  <fonts count="8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  <font>
      <name val="Arial"/>
      <b val="1"/>
      <sz val="11"/>
    </font>
    <font>
      <name val="Arial"/>
      <b val="1"/>
      <color rgb="001B365D"/>
      <sz val="16"/>
    </font>
    <font>
      <name val="Arial"/>
      <i val="1"/>
      <color rgb="005A6A85"/>
      <sz val="10"/>
    </font>
    <font>
      <name val="Arial"/>
      <b val="1"/>
      <color rgb="005A6A85"/>
      <sz val="9"/>
    </font>
    <font>
      <name val="Arial"/>
      <b val="1"/>
      <color rgb="001B365D"/>
      <sz val="18"/>
    </font>
  </fonts>
  <fills count="5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0F4F8"/>
        <bgColor rgb="00F0F4F8"/>
      </patternFill>
    </fill>
    <fill>
      <patternFill patternType="solid">
        <fgColor rgb="00F8FAFC"/>
        <bgColor rgb="00F8FAFC"/>
      </patternFill>
    </fill>
  </fills>
  <borders count="3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  <border>
      <top style="thin">
        <color rgb="001B365D"/>
      </top>
      <bottom style="double">
        <color rgb="001B365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4" borderId="1" applyAlignment="1" pivotButton="0" quotePrefix="0" xfId="0">
      <alignment horizontal="center" vertical="center"/>
    </xf>
    <xf numFmtId="0" fontId="0" fillId="4" borderId="1" pivotButton="0" quotePrefix="0" xfId="0"/>
    <xf numFmtId="164" fontId="7" fillId="4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0" fontId="3" fillId="0" borderId="2" applyAlignment="1" pivotButton="0" quotePrefix="0" xfId="0">
      <alignment horizontal="center" vertical="center"/>
    </xf>
    <xf numFmtId="164" fontId="3" fillId="0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WCI Composite Index Monthly Trend</a:t>
            </a:r>
          </a:p>
        </rich>
      </tx>
    </title>
    <plotArea>
      <lineChart>
        <grouping val="standard"/>
        <ser>
          <idx val="0"/>
          <order val="0"/>
          <tx>
            <strRef>
              <f>'Monthly_Data'!B1</f>
            </strRef>
          </tx>
          <spPr>
            <a:ln xmlns:a="http://schemas.openxmlformats.org/drawingml/2006/main" w="30000">
              <a:solidFill>
                <a:srgbClr val="1B365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'Monthly_Data'!$A$2:$A$13</f>
            </numRef>
          </cat>
          <val>
            <numRef>
              <f>'Monthly_Data'!$B$2:$B$13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USD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8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I6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2">
      <c r="B2" s="1" t="inlineStr">
        <is>
          <t>Drewry World Container Index (WCI)</t>
        </is>
      </c>
    </row>
    <row r="3">
      <c r="B3" s="2" t="inlineStr">
        <is>
          <t>Historical Monthly Trend Analysis (Past 1 Year)</t>
        </is>
      </c>
    </row>
    <row r="5">
      <c r="B5" s="3" t="inlineStr">
        <is>
          <t>Latest Index (May 2026)</t>
        </is>
      </c>
      <c r="C5" s="4" t="n"/>
      <c r="D5" s="3" t="inlineStr">
        <is>
          <t>1-Year Peak Index</t>
        </is>
      </c>
      <c r="E5" s="4" t="n"/>
      <c r="F5" s="3" t="inlineStr">
        <is>
          <t>1-Year Floor Index</t>
        </is>
      </c>
      <c r="G5" s="4" t="n"/>
      <c r="H5" s="3" t="inlineStr">
        <is>
          <t>1-Year Average</t>
        </is>
      </c>
      <c r="I5" s="4" t="n"/>
    </row>
    <row r="6">
      <c r="B6" s="5">
        <f>Monthly_Data!B13</f>
        <v/>
      </c>
      <c r="C6" s="4" t="n"/>
      <c r="D6" s="5">
        <f>MAX(Monthly_Data!B2:B13)</f>
        <v/>
      </c>
      <c r="E6" s="4" t="n"/>
      <c r="F6" s="5">
        <f>MIN(Monthly_Data!B2:B13)</f>
        <v/>
      </c>
      <c r="G6" s="4" t="n"/>
      <c r="H6" s="5">
        <f>Monthly_Data!B14</f>
        <v/>
      </c>
      <c r="I6" s="4" t="n"/>
    </row>
  </sheetData>
  <mergeCells count="8">
    <mergeCell ref="D6:E6"/>
    <mergeCell ref="B6:C6"/>
    <mergeCell ref="H6:I6"/>
    <mergeCell ref="B5:C5"/>
    <mergeCell ref="F5:G5"/>
    <mergeCell ref="D5:E5"/>
    <mergeCell ref="F6:G6"/>
    <mergeCell ref="H5:I5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23" customWidth="1" min="2" max="2"/>
    <col width="24" customWidth="1" min="3" max="3"/>
    <col width="20" customWidth="1" min="4" max="4"/>
    <col width="26" customWidth="1" min="5" max="5"/>
    <col width="23" customWidth="1" min="6" max="6"/>
  </cols>
  <sheetData>
    <row r="1">
      <c r="A1" s="6" t="inlineStr">
        <is>
          <t>Month</t>
        </is>
      </c>
      <c r="B1" s="6" t="inlineStr">
        <is>
          <t>WCI Composite Index</t>
        </is>
      </c>
      <c r="C1" s="6" t="inlineStr">
        <is>
          <t>Shanghai - Rotterdam</t>
        </is>
      </c>
      <c r="D1" s="6" t="inlineStr">
        <is>
          <t>Shanghai - Genoa</t>
        </is>
      </c>
      <c r="E1" s="6" t="inlineStr">
        <is>
          <t>Shanghai - Los Angeles</t>
        </is>
      </c>
      <c r="F1" s="6" t="inlineStr">
        <is>
          <t>Shanghai - New York</t>
        </is>
      </c>
    </row>
    <row r="2">
      <c r="A2" s="7" t="inlineStr">
        <is>
          <t>2025-06</t>
        </is>
      </c>
      <c r="B2" s="8" t="n">
        <v>4110</v>
      </c>
      <c r="C2" s="8" t="n">
        <v>4980</v>
      </c>
      <c r="D2" s="8" t="n">
        <v>5210</v>
      </c>
      <c r="E2" s="8" t="n">
        <v>3920</v>
      </c>
      <c r="F2" s="8" t="n">
        <v>5150</v>
      </c>
    </row>
    <row r="3">
      <c r="A3" s="9" t="inlineStr">
        <is>
          <t>2025-07</t>
        </is>
      </c>
      <c r="B3" s="10" t="n">
        <v>5620</v>
      </c>
      <c r="C3" s="10" t="n">
        <v>6840</v>
      </c>
      <c r="D3" s="10" t="n">
        <v>7120</v>
      </c>
      <c r="E3" s="10" t="n">
        <v>4910</v>
      </c>
      <c r="F3" s="10" t="n">
        <v>6420</v>
      </c>
    </row>
    <row r="4">
      <c r="A4" s="7" t="inlineStr">
        <is>
          <t>2025-08</t>
        </is>
      </c>
      <c r="B4" s="8" t="n">
        <v>5310</v>
      </c>
      <c r="C4" s="8" t="n">
        <v>6210</v>
      </c>
      <c r="D4" s="8" t="n">
        <v>6650</v>
      </c>
      <c r="E4" s="8" t="n">
        <v>4720</v>
      </c>
      <c r="F4" s="8" t="n">
        <v>6180</v>
      </c>
    </row>
    <row r="5">
      <c r="A5" s="9" t="inlineStr">
        <is>
          <t>2025-09</t>
        </is>
      </c>
      <c r="B5" s="10" t="n">
        <v>4420</v>
      </c>
      <c r="C5" s="10" t="n">
        <v>4820</v>
      </c>
      <c r="D5" s="10" t="n">
        <v>5100</v>
      </c>
      <c r="E5" s="10" t="n">
        <v>4150</v>
      </c>
      <c r="F5" s="10" t="n">
        <v>5400</v>
      </c>
    </row>
    <row r="6">
      <c r="A6" s="7" t="inlineStr">
        <is>
          <t>2025-10</t>
        </is>
      </c>
      <c r="B6" s="8" t="n">
        <v>3180</v>
      </c>
      <c r="C6" s="8" t="n">
        <v>3210</v>
      </c>
      <c r="D6" s="8" t="n">
        <v>3650</v>
      </c>
      <c r="E6" s="8" t="n">
        <v>3100</v>
      </c>
      <c r="F6" s="8" t="n">
        <v>4350</v>
      </c>
    </row>
    <row r="7">
      <c r="A7" s="9" t="inlineStr">
        <is>
          <t>2025-11</t>
        </is>
      </c>
      <c r="B7" s="10" t="n">
        <v>2430</v>
      </c>
      <c r="C7" s="10" t="n">
        <v>2350</v>
      </c>
      <c r="D7" s="10" t="n">
        <v>2740</v>
      </c>
      <c r="E7" s="10" t="n">
        <v>2580</v>
      </c>
      <c r="F7" s="10" t="n">
        <v>3620</v>
      </c>
    </row>
    <row r="8">
      <c r="A8" s="7" t="inlineStr">
        <is>
          <t>2025-12</t>
        </is>
      </c>
      <c r="B8" s="8" t="n">
        <v>1980</v>
      </c>
      <c r="C8" s="8" t="n">
        <v>1850</v>
      </c>
      <c r="D8" s="8" t="n">
        <v>2210</v>
      </c>
      <c r="E8" s="8" t="n">
        <v>2100</v>
      </c>
      <c r="F8" s="8" t="n">
        <v>3150</v>
      </c>
    </row>
    <row r="9">
      <c r="A9" s="9" t="inlineStr">
        <is>
          <t>2026-01</t>
        </is>
      </c>
      <c r="B9" s="10" t="n">
        <v>3450</v>
      </c>
      <c r="C9" s="10" t="n">
        <v>4120</v>
      </c>
      <c r="D9" s="10" t="n">
        <v>4850</v>
      </c>
      <c r="E9" s="10" t="n">
        <v>2980</v>
      </c>
      <c r="F9" s="10" t="n">
        <v>4210</v>
      </c>
    </row>
    <row r="10">
      <c r="A10" s="7" t="inlineStr">
        <is>
          <t>2026-02</t>
        </is>
      </c>
      <c r="B10" s="8" t="n">
        <v>3820</v>
      </c>
      <c r="C10" s="8" t="n">
        <v>4580</v>
      </c>
      <c r="D10" s="8" t="n">
        <v>5230</v>
      </c>
      <c r="E10" s="8" t="n">
        <v>3340</v>
      </c>
      <c r="F10" s="8" t="n">
        <v>4750</v>
      </c>
    </row>
    <row r="11">
      <c r="A11" s="9" t="inlineStr">
        <is>
          <t>2026-03</t>
        </is>
      </c>
      <c r="B11" s="10" t="n">
        <v>3120</v>
      </c>
      <c r="C11" s="10" t="n">
        <v>3450</v>
      </c>
      <c r="D11" s="10" t="n">
        <v>4180</v>
      </c>
      <c r="E11" s="10" t="n">
        <v>2920</v>
      </c>
      <c r="F11" s="10" t="n">
        <v>4380</v>
      </c>
    </row>
    <row r="12">
      <c r="A12" s="7" t="inlineStr">
        <is>
          <t>2026-04</t>
        </is>
      </c>
      <c r="B12" s="8" t="n">
        <v>2710</v>
      </c>
      <c r="C12" s="8" t="n">
        <v>2980</v>
      </c>
      <c r="D12" s="8" t="n">
        <v>3620</v>
      </c>
      <c r="E12" s="8" t="n">
        <v>2750</v>
      </c>
      <c r="F12" s="8" t="n">
        <v>3950</v>
      </c>
    </row>
    <row r="13">
      <c r="A13" s="9" t="inlineStr">
        <is>
          <t>2026-05</t>
        </is>
      </c>
      <c r="B13" s="10" t="n">
        <v>2799</v>
      </c>
      <c r="C13" s="10" t="n">
        <v>2861</v>
      </c>
      <c r="D13" s="10" t="n">
        <v>4253</v>
      </c>
      <c r="E13" s="10" t="n">
        <v>3473</v>
      </c>
      <c r="F13" s="10" t="n">
        <v>4597</v>
      </c>
    </row>
    <row r="14">
      <c r="A14" s="11" t="inlineStr">
        <is>
          <t>Average</t>
        </is>
      </c>
      <c r="B14" s="12">
        <f>AVERAGE(B2:B13)</f>
        <v/>
      </c>
      <c r="C14" s="12">
        <f>AVERAGE(C2:C13)</f>
        <v/>
      </c>
      <c r="D14" s="12">
        <f>AVERAGE(D2:D13)</f>
        <v/>
      </c>
      <c r="E14" s="12">
        <f>AVERAGE(E2:E13)</f>
        <v/>
      </c>
      <c r="F14" s="12">
        <f>AVERAGE(F2:F13)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2026-05-31T16:33:47Z</dcterms:created>
  <dcterms:modified xmlns:dcterms="http://purl.org/dc/terms/" xmlns:xsi="http://www.w3.org/2001/XMLSchema-instance" xsi:type="dcterms:W3CDTF">2026-05-31T16:33:47Z</dcterms:modified>
</cp:coreProperties>
</file>